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cartec-my.sharepoint.com/personal/leticia_policarpo_infocar_com_br/Documents/Cruzeiro/"/>
    </mc:Choice>
  </mc:AlternateContent>
  <xr:revisionPtr revIDLastSave="0" documentId="8_{2E3DAD0C-71D5-416E-B686-0821B3228D07}" xr6:coauthVersionLast="47" xr6:coauthVersionMax="47" xr10:uidLastSave="{00000000-0000-0000-0000-000000000000}"/>
  <bookViews>
    <workbookView xWindow="-108" yWindow="-108" windowWidth="23256" windowHeight="12456" activeTab="1" xr2:uid="{ADA15B38-E929-4F60-86DA-E4CEF61CB72E}"/>
  </bookViews>
  <sheets>
    <sheet name="Contexto" sheetId="2" r:id="rId1"/>
    <sheet name="Estoque" sheetId="1" r:id="rId2"/>
  </sheets>
  <definedNames>
    <definedName name="_xlnm._FilterDatabase" localSheetId="1" hidden="1">Estoque!$B$3:$J$23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" i="1" l="1"/>
  <c r="J18" i="1"/>
  <c r="J5" i="1"/>
  <c r="J15" i="1"/>
  <c r="J23" i="1"/>
  <c r="J16" i="1"/>
  <c r="J13" i="1"/>
  <c r="J9" i="1"/>
  <c r="J11" i="1"/>
  <c r="J7" i="1"/>
  <c r="I7" i="1"/>
  <c r="I6" i="1"/>
  <c r="I11" i="1"/>
  <c r="I8" i="1"/>
  <c r="I9" i="1"/>
  <c r="I10" i="1"/>
  <c r="I13" i="1"/>
  <c r="I12" i="1"/>
  <c r="I16" i="1"/>
  <c r="I14" i="1"/>
  <c r="I23" i="1"/>
  <c r="I15" i="1"/>
  <c r="I17" i="1"/>
  <c r="I5" i="1"/>
  <c r="I19" i="1"/>
  <c r="I18" i="1"/>
  <c r="I21" i="1"/>
  <c r="I22" i="1"/>
  <c r="I20" i="1"/>
  <c r="I4" i="1"/>
</calcChain>
</file>

<file path=xl/sharedStrings.xml><?xml version="1.0" encoding="utf-8"?>
<sst xmlns="http://schemas.openxmlformats.org/spreadsheetml/2006/main" count="103" uniqueCount="78">
  <si>
    <t>SKU</t>
  </si>
  <si>
    <t>Produto</t>
  </si>
  <si>
    <t>Categoria</t>
  </si>
  <si>
    <t>Estoque minimo</t>
  </si>
  <si>
    <t>Custo unitario</t>
  </si>
  <si>
    <t>Fornecedor</t>
  </si>
  <si>
    <t>SKU-1001</t>
  </si>
  <si>
    <t>Teclado USB</t>
  </si>
  <si>
    <t>Periféricos</t>
  </si>
  <si>
    <t>TechSupply</t>
  </si>
  <si>
    <t>SKU-1002</t>
  </si>
  <si>
    <t>Mouse óptico</t>
  </si>
  <si>
    <t>SKU-1003</t>
  </si>
  <si>
    <t>Monitor 24 pol.</t>
  </si>
  <si>
    <t>Monitores</t>
  </si>
  <si>
    <t>VisioDistrib</t>
  </si>
  <si>
    <t>SKU-1004</t>
  </si>
  <si>
    <t>Cabo HDMI 2m</t>
  </si>
  <si>
    <t>Cabos</t>
  </si>
  <si>
    <t>ConectaMais</t>
  </si>
  <si>
    <t>SKU-1005</t>
  </si>
  <si>
    <t>Headset</t>
  </si>
  <si>
    <t>Áudio</t>
  </si>
  <si>
    <t>AudioPro</t>
  </si>
  <si>
    <t>SKU-1006</t>
  </si>
  <si>
    <t>Webcam HD</t>
  </si>
  <si>
    <t>SKU-1007</t>
  </si>
  <si>
    <t>SSD 480 GB</t>
  </si>
  <si>
    <t>Armazenamento</t>
  </si>
  <si>
    <t>DataParts</t>
  </si>
  <si>
    <t>SKU-1008</t>
  </si>
  <si>
    <t>Memória RAM 8 GB</t>
  </si>
  <si>
    <t>Componentes</t>
  </si>
  <si>
    <t>SKU-1009</t>
  </si>
  <si>
    <t>Adaptador USB-C</t>
  </si>
  <si>
    <t>Adaptadores</t>
  </si>
  <si>
    <t>SKU-1010</t>
  </si>
  <si>
    <t>Carregador notebook</t>
  </si>
  <si>
    <t>Acessórios</t>
  </si>
  <si>
    <t>SKU-1011</t>
  </si>
  <si>
    <t>Cabo de rede 5m</t>
  </si>
  <si>
    <t>SKU-1012</t>
  </si>
  <si>
    <t>Hub USB 4 portas</t>
  </si>
  <si>
    <t>SKU-1013</t>
  </si>
  <si>
    <t>Suporte para notebook</t>
  </si>
  <si>
    <t>SKU-1014</t>
  </si>
  <si>
    <t>Mouse pad</t>
  </si>
  <si>
    <t>SKU-1015</t>
  </si>
  <si>
    <t>Pen drive 64 GB</t>
  </si>
  <si>
    <t>SKU-1016</t>
  </si>
  <si>
    <t>Fonte ATX 500W</t>
  </si>
  <si>
    <t>SKU-1017</t>
  </si>
  <si>
    <t>Cadeira de escritório</t>
  </si>
  <si>
    <t>Mobiliário</t>
  </si>
  <si>
    <t>OfficeMix</t>
  </si>
  <si>
    <t>SKU-1018</t>
  </si>
  <si>
    <t>Filtro de linha</t>
  </si>
  <si>
    <t>SKU-1019</t>
  </si>
  <si>
    <t>Placa de vídeo</t>
  </si>
  <si>
    <t>SKU-1020</t>
  </si>
  <si>
    <t>Organizador de cabos</t>
  </si>
  <si>
    <t>Controle de estoque mínimo</t>
  </si>
  <si>
    <t>Um centro de distribuição quer evitar rupturas. Você recebeu a lista de produtos com saldo atual e ponto de pedido.</t>
  </si>
  <si>
    <t>Problema</t>
  </si>
  <si>
    <t>Listar os itens que estão abaixo do estoque mínimo e precisam de reposição urgente.</t>
  </si>
  <si>
    <t>Quantidade em estoque</t>
  </si>
  <si>
    <t>Estoque</t>
  </si>
  <si>
    <t>Status de reposição</t>
  </si>
  <si>
    <t>GAP</t>
  </si>
  <si>
    <t>Atividade</t>
  </si>
  <si>
    <t>Ação realizada</t>
  </si>
  <si>
    <t>Verifiquei se havia SKUs duplicados, valores vazios ou estoque mínimo zerado.</t>
  </si>
  <si>
    <t>Criei uma coluna para identificar os produtos que precisam de reposição (Saldo ≤ Estoque Mínimo) e calculei a diferença entre o estoque mínimo e o saldo atual (GAP).</t>
  </si>
  <si>
    <t>Filtrei os produtos que precisam de reposição, organizei do maior para o menor GAP e destaquei os itens mais críticos com formatação condicional.</t>
  </si>
  <si>
    <t>Conferi se todos os produtos que precisam de reposição estavam na lista e removi aqueles com GAP negativo.</t>
  </si>
  <si>
    <t>Organizei uma tabela com apenas SKU, Saldo, Estoque Mínimo e GAP, facilitando a visualização dos produtos que precisam ser comprados.</t>
  </si>
  <si>
    <t>Resumo da análise:</t>
  </si>
  <si>
    <t>Foram identificados 10 produtos abaixo do estoque mínimo. O produto que mais precisa de reposição é o SKU-1015, com uma diferença de 10 unidades. A lista foi organizada por prioridade para facilitar o processo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</si>
</sst>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11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11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11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111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111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6981-3598-4668-A382-8BB80B417984}">
  <dimension ref="B2:C23"/>
  <sheetViews>
    <sheetView workbookViewId="0">
      <selection activeCell="C5" sqref="C5"/>
    </sheetView>
  </sheetViews>
  <sheetFormatPr defaultColWidth="67" defaultRowHeight="14.4" x14ac:dyDescent="0.3"/>
  <cols>
    <col min="1" max="1" width="60.5546875" style="14" customWidth="1"/>
    <col min="2" max="2" width="84.109375" style="14" customWidth="1"/>
    <col min="3" max="16384" width="67" style="14"/>
  </cols>
  <sheetData>
    <row r="2" spans="2:3" ht="18" x14ac:dyDescent="0.35">
      <c r="B2" s="16" t="s">
        <v>69</v>
      </c>
    </row>
    <row r="4" spans="2:3" x14ac:dyDescent="0.3">
      <c r="B4" s="17" t="s">
        <v>61</v>
      </c>
    </row>
    <row r="5" spans="2:3" ht="28.8" x14ac:dyDescent="0.3">
      <c r="B5" s="14" t="s">
        <v>62</v>
      </c>
    </row>
    <row r="6" spans="2:3" x14ac:dyDescent="0.3">
      <c r="C6" s="15"/>
    </row>
    <row r="7" spans="2:3" x14ac:dyDescent="0.3">
      <c r="B7" s="17" t="s">
        <v>63</v>
      </c>
    </row>
    <row r="8" spans="2:3" ht="28.8" x14ac:dyDescent="0.3">
      <c r="B8" s="14" t="s">
        <v>64</v>
      </c>
    </row>
    <row r="10" spans="2:3" x14ac:dyDescent="0.3">
      <c r="B10" s="17" t="s">
        <v>70</v>
      </c>
    </row>
    <row r="11" spans="2:3" x14ac:dyDescent="0.3">
      <c r="B11" s="18" t="s">
        <v>71</v>
      </c>
    </row>
    <row r="12" spans="2:3" x14ac:dyDescent="0.3">
      <c r="B12" s="18"/>
    </row>
    <row r="13" spans="2:3" ht="43.2" x14ac:dyDescent="0.3">
      <c r="B13" s="18" t="s">
        <v>72</v>
      </c>
    </row>
    <row r="14" spans="2:3" x14ac:dyDescent="0.3">
      <c r="B14" s="18"/>
    </row>
    <row r="15" spans="2:3" ht="28.8" x14ac:dyDescent="0.3">
      <c r="B15" s="18" t="s">
        <v>73</v>
      </c>
    </row>
    <row r="16" spans="2:3" x14ac:dyDescent="0.3">
      <c r="B16" s="18"/>
    </row>
    <row r="17" spans="2:2" ht="28.8" x14ac:dyDescent="0.3">
      <c r="B17" s="18" t="s">
        <v>74</v>
      </c>
    </row>
    <row r="18" spans="2:2" x14ac:dyDescent="0.3">
      <c r="B18" s="18"/>
    </row>
    <row r="19" spans="2:2" ht="28.8" x14ac:dyDescent="0.3">
      <c r="B19" s="18" t="s">
        <v>75</v>
      </c>
    </row>
    <row r="21" spans="2:2" x14ac:dyDescent="0.3">
      <c r="B21" s="17" t="s">
        <v>76</v>
      </c>
    </row>
    <row r="23" spans="2:2" ht="43.2" x14ac:dyDescent="0.3">
      <c r="B23" s="14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97FC-A8FD-40FF-A3A8-2435A67199F0}">
  <sheetPr filterMode="1"/>
  <dimension ref="B1:J23"/>
  <sheetViews>
    <sheetView tabSelected="1" zoomScaleNormal="100" workbookViewId="0">
      <selection activeCell="G18" sqref="G18"/>
    </sheetView>
  </sheetViews>
  <sheetFormatPr defaultRowHeight="14.4" x14ac:dyDescent="0.3"/>
  <cols>
    <col min="3" max="3" width="19.21875" bestFit="1" customWidth="1"/>
    <col min="4" max="4" width="14.33203125" bestFit="1" customWidth="1"/>
    <col min="5" max="5" width="17.33203125" customWidth="1"/>
    <col min="6" max="6" width="16.77734375" bestFit="1" customWidth="1"/>
    <col min="7" max="7" width="14.77734375" bestFit="1" customWidth="1"/>
    <col min="8" max="8" width="12.6640625" bestFit="1" customWidth="1"/>
    <col min="9" max="9" width="19.77734375" bestFit="1" customWidth="1"/>
    <col min="11" max="11" width="8.88671875" bestFit="1" customWidth="1"/>
    <col min="12" max="12" width="19.21875" bestFit="1" customWidth="1"/>
    <col min="13" max="13" width="14.33203125" bestFit="1" customWidth="1"/>
    <col min="14" max="14" width="22.44140625" bestFit="1" customWidth="1"/>
    <col min="15" max="15" width="16.109375" bestFit="1" customWidth="1"/>
    <col min="16" max="16" width="14.33203125" bestFit="1" customWidth="1"/>
    <col min="17" max="17" width="12.5546875" bestFit="1" customWidth="1"/>
    <col min="18" max="18" width="19" bestFit="1" customWidth="1"/>
    <col min="19" max="19" width="6.77734375" bestFit="1" customWidth="1"/>
    <col min="20" max="21" width="16.77734375" customWidth="1"/>
  </cols>
  <sheetData>
    <row r="1" spans="2:10" ht="15" thickBot="1" x14ac:dyDescent="0.35"/>
    <row r="2" spans="2:10" ht="18" x14ac:dyDescent="0.35">
      <c r="B2" s="7" t="s">
        <v>66</v>
      </c>
      <c r="C2" s="8"/>
      <c r="D2" s="8"/>
      <c r="E2" s="8"/>
      <c r="F2" s="8"/>
      <c r="G2" s="8"/>
      <c r="H2" s="8"/>
      <c r="I2" s="8"/>
      <c r="J2" s="9"/>
    </row>
    <row r="3" spans="2:10" ht="28.8" x14ac:dyDescent="0.3">
      <c r="B3" s="11" t="s">
        <v>0</v>
      </c>
      <c r="C3" s="12" t="s">
        <v>1</v>
      </c>
      <c r="D3" s="12" t="s">
        <v>2</v>
      </c>
      <c r="E3" s="13" t="s">
        <v>65</v>
      </c>
      <c r="F3" s="12" t="s">
        <v>3</v>
      </c>
      <c r="G3" s="12" t="s">
        <v>4</v>
      </c>
      <c r="H3" s="12" t="s">
        <v>5</v>
      </c>
      <c r="I3" s="12" t="s">
        <v>67</v>
      </c>
      <c r="J3" s="10" t="s">
        <v>68</v>
      </c>
    </row>
    <row r="4" spans="2:10" hidden="1" x14ac:dyDescent="0.3">
      <c r="B4" s="2" t="s">
        <v>6</v>
      </c>
      <c r="C4" s="1" t="s">
        <v>7</v>
      </c>
      <c r="D4" s="1" t="s">
        <v>8</v>
      </c>
      <c r="E4" s="1">
        <v>42</v>
      </c>
      <c r="F4" s="1">
        <v>15</v>
      </c>
      <c r="G4" s="1">
        <v>48.9</v>
      </c>
      <c r="H4" s="1" t="s">
        <v>9</v>
      </c>
      <c r="I4" s="1" t="str">
        <f>IF(E4&lt;=F4, "Precisa repor", "Não precisa repor")</f>
        <v>Não precisa repor</v>
      </c>
      <c r="J4" s="3"/>
    </row>
    <row r="5" spans="2:10" x14ac:dyDescent="0.3">
      <c r="B5" s="2" t="s">
        <v>47</v>
      </c>
      <c r="C5" s="1" t="s">
        <v>48</v>
      </c>
      <c r="D5" s="1" t="s">
        <v>28</v>
      </c>
      <c r="E5" s="1">
        <v>0</v>
      </c>
      <c r="F5" s="1">
        <v>10</v>
      </c>
      <c r="G5" s="1">
        <v>34.9</v>
      </c>
      <c r="H5" s="1" t="s">
        <v>29</v>
      </c>
      <c r="I5" s="1" t="str">
        <f>IF(E5&lt;=F5, "Precisa repor", "Não precisa repor")</f>
        <v>Precisa repor</v>
      </c>
      <c r="J5" s="3">
        <f>F5-E5</f>
        <v>10</v>
      </c>
    </row>
    <row r="6" spans="2:10" hidden="1" x14ac:dyDescent="0.3">
      <c r="B6" s="2" t="s">
        <v>12</v>
      </c>
      <c r="C6" s="1" t="s">
        <v>13</v>
      </c>
      <c r="D6" s="1" t="s">
        <v>14</v>
      </c>
      <c r="E6" s="1">
        <v>8</v>
      </c>
      <c r="F6" s="1">
        <v>5</v>
      </c>
      <c r="G6" s="1">
        <v>589</v>
      </c>
      <c r="H6" s="1" t="s">
        <v>15</v>
      </c>
      <c r="I6" s="1" t="str">
        <f>IF(E6&lt;=F6, "Precisa repor", "Não precisa repor")</f>
        <v>Não precisa repor</v>
      </c>
      <c r="J6" s="3"/>
    </row>
    <row r="7" spans="2:10" x14ac:dyDescent="0.3">
      <c r="B7" s="2" t="s">
        <v>10</v>
      </c>
      <c r="C7" s="1" t="s">
        <v>11</v>
      </c>
      <c r="D7" s="1" t="s">
        <v>8</v>
      </c>
      <c r="E7" s="1">
        <v>12</v>
      </c>
      <c r="F7" s="1">
        <v>20</v>
      </c>
      <c r="G7" s="1">
        <v>22.5</v>
      </c>
      <c r="H7" s="1" t="s">
        <v>9</v>
      </c>
      <c r="I7" s="1" t="str">
        <f>IF(E7&lt;=F7, "Precisa repor", "Não precisa repor")</f>
        <v>Precisa repor</v>
      </c>
      <c r="J7" s="3">
        <f>F7-E7</f>
        <v>8</v>
      </c>
    </row>
    <row r="8" spans="2:10" hidden="1" x14ac:dyDescent="0.3">
      <c r="B8" s="2" t="s">
        <v>20</v>
      </c>
      <c r="C8" s="1" t="s">
        <v>21</v>
      </c>
      <c r="D8" s="1" t="s">
        <v>22</v>
      </c>
      <c r="E8" s="1">
        <v>25</v>
      </c>
      <c r="F8" s="1">
        <v>12</v>
      </c>
      <c r="G8" s="1">
        <v>79.900000000000006</v>
      </c>
      <c r="H8" s="1" t="s">
        <v>23</v>
      </c>
      <c r="I8" s="1" t="str">
        <f>IF(E8&lt;=F8, "Precisa repor", "Não precisa repor")</f>
        <v>Não precisa repor</v>
      </c>
      <c r="J8" s="3"/>
    </row>
    <row r="9" spans="2:10" x14ac:dyDescent="0.3">
      <c r="B9" s="2" t="s">
        <v>24</v>
      </c>
      <c r="C9" s="1" t="s">
        <v>25</v>
      </c>
      <c r="D9" s="1" t="s">
        <v>8</v>
      </c>
      <c r="E9" s="1">
        <v>4</v>
      </c>
      <c r="F9" s="1">
        <v>8</v>
      </c>
      <c r="G9" s="1">
        <v>119</v>
      </c>
      <c r="H9" s="1" t="s">
        <v>15</v>
      </c>
      <c r="I9" s="1" t="str">
        <f>IF(E9&lt;=F9, "Precisa repor", "Não precisa repor")</f>
        <v>Precisa repor</v>
      </c>
      <c r="J9" s="3">
        <f>F9-E9</f>
        <v>4</v>
      </c>
    </row>
    <row r="10" spans="2:10" hidden="1" x14ac:dyDescent="0.3">
      <c r="B10" s="2" t="s">
        <v>26</v>
      </c>
      <c r="C10" s="1" t="s">
        <v>27</v>
      </c>
      <c r="D10" s="1" t="s">
        <v>28</v>
      </c>
      <c r="E10" s="1">
        <v>16</v>
      </c>
      <c r="F10" s="1">
        <v>10</v>
      </c>
      <c r="G10" s="1">
        <v>219.9</v>
      </c>
      <c r="H10" s="1" t="s">
        <v>29</v>
      </c>
      <c r="I10" s="1" t="str">
        <f>IF(E10&lt;=F10, "Precisa repor", "Não precisa repor")</f>
        <v>Não precisa repor</v>
      </c>
      <c r="J10" s="3"/>
    </row>
    <row r="11" spans="2:10" x14ac:dyDescent="0.3">
      <c r="B11" s="2" t="s">
        <v>16</v>
      </c>
      <c r="C11" s="1" t="s">
        <v>17</v>
      </c>
      <c r="D11" s="1" t="s">
        <v>18</v>
      </c>
      <c r="E11" s="1">
        <v>7</v>
      </c>
      <c r="F11" s="1">
        <v>10</v>
      </c>
      <c r="G11" s="1">
        <v>18.899999999999999</v>
      </c>
      <c r="H11" s="1" t="s">
        <v>19</v>
      </c>
      <c r="I11" s="1" t="str">
        <f>IF(E11&lt;=F11, "Precisa repor", "Não precisa repor")</f>
        <v>Precisa repor</v>
      </c>
      <c r="J11" s="3">
        <f>F11-E11</f>
        <v>3</v>
      </c>
    </row>
    <row r="12" spans="2:10" hidden="1" x14ac:dyDescent="0.3">
      <c r="B12" s="2" t="s">
        <v>33</v>
      </c>
      <c r="C12" s="1" t="s">
        <v>34</v>
      </c>
      <c r="D12" s="1" t="s">
        <v>35</v>
      </c>
      <c r="E12" s="1">
        <v>31</v>
      </c>
      <c r="F12" s="1">
        <v>10</v>
      </c>
      <c r="G12" s="1">
        <v>29.9</v>
      </c>
      <c r="H12" s="1" t="s">
        <v>19</v>
      </c>
      <c r="I12" s="1" t="str">
        <f>IF(E12&lt;=F12, "Precisa repor", "Não precisa repor")</f>
        <v>Não precisa repor</v>
      </c>
      <c r="J12" s="3"/>
    </row>
    <row r="13" spans="2:10" x14ac:dyDescent="0.3">
      <c r="B13" s="2" t="s">
        <v>30</v>
      </c>
      <c r="C13" s="1" t="s">
        <v>31</v>
      </c>
      <c r="D13" s="1" t="s">
        <v>32</v>
      </c>
      <c r="E13" s="1">
        <v>9</v>
      </c>
      <c r="F13" s="1">
        <v>12</v>
      </c>
      <c r="G13" s="1">
        <v>139.9</v>
      </c>
      <c r="H13" s="1" t="s">
        <v>29</v>
      </c>
      <c r="I13" s="1" t="str">
        <f>IF(E13&lt;=F13, "Precisa repor", "Não precisa repor")</f>
        <v>Precisa repor</v>
      </c>
      <c r="J13" s="3">
        <f>F13-E13</f>
        <v>3</v>
      </c>
    </row>
    <row r="14" spans="2:10" hidden="1" x14ac:dyDescent="0.3">
      <c r="B14" s="2" t="s">
        <v>39</v>
      </c>
      <c r="C14" s="1" t="s">
        <v>40</v>
      </c>
      <c r="D14" s="1" t="s">
        <v>18</v>
      </c>
      <c r="E14" s="1">
        <v>18</v>
      </c>
      <c r="F14" s="1">
        <v>8</v>
      </c>
      <c r="G14" s="1">
        <v>14.5</v>
      </c>
      <c r="H14" s="1" t="s">
        <v>19</v>
      </c>
      <c r="I14" s="1" t="str">
        <f>IF(E14&lt;=F14, "Precisa repor", "Não precisa repor")</f>
        <v>Não precisa repor</v>
      </c>
      <c r="J14" s="3"/>
    </row>
    <row r="15" spans="2:10" x14ac:dyDescent="0.3">
      <c r="B15" s="2" t="s">
        <v>43</v>
      </c>
      <c r="C15" s="1" t="s">
        <v>44</v>
      </c>
      <c r="D15" s="1" t="s">
        <v>38</v>
      </c>
      <c r="E15" s="1">
        <v>3</v>
      </c>
      <c r="F15" s="1">
        <v>5</v>
      </c>
      <c r="G15" s="1">
        <v>89.9</v>
      </c>
      <c r="H15" s="1" t="s">
        <v>23</v>
      </c>
      <c r="I15" s="1" t="str">
        <f>IF(E15&lt;=F15, "Precisa repor", "Não precisa repor")</f>
        <v>Precisa repor</v>
      </c>
      <c r="J15" s="3">
        <f>F15-E15</f>
        <v>2</v>
      </c>
    </row>
    <row r="16" spans="2:10" x14ac:dyDescent="0.3">
      <c r="B16" s="2" t="s">
        <v>36</v>
      </c>
      <c r="C16" s="1" t="s">
        <v>37</v>
      </c>
      <c r="D16" s="1" t="s">
        <v>38</v>
      </c>
      <c r="E16" s="1">
        <v>5</v>
      </c>
      <c r="F16" s="1">
        <v>6</v>
      </c>
      <c r="G16" s="1">
        <v>149.9</v>
      </c>
      <c r="H16" s="1" t="s">
        <v>9</v>
      </c>
      <c r="I16" s="1" t="str">
        <f>IF(E16&lt;=F16, "Precisa repor", "Não precisa repor")</f>
        <v>Precisa repor</v>
      </c>
      <c r="J16" s="3">
        <f>F16-E16</f>
        <v>1</v>
      </c>
    </row>
    <row r="17" spans="2:10" hidden="1" x14ac:dyDescent="0.3">
      <c r="B17" s="2" t="s">
        <v>45</v>
      </c>
      <c r="C17" s="1" t="s">
        <v>46</v>
      </c>
      <c r="D17" s="1" t="s">
        <v>8</v>
      </c>
      <c r="E17" s="1">
        <v>55</v>
      </c>
      <c r="F17" s="1">
        <v>20</v>
      </c>
      <c r="G17" s="1">
        <v>12.9</v>
      </c>
      <c r="H17" s="1" t="s">
        <v>9</v>
      </c>
      <c r="I17" s="1" t="str">
        <f>IF(E17&lt;=F17, "Precisa repor", "Não precisa repor")</f>
        <v>Não precisa repor</v>
      </c>
      <c r="J17" s="3"/>
    </row>
    <row r="18" spans="2:10" x14ac:dyDescent="0.3">
      <c r="B18" s="2" t="s">
        <v>51</v>
      </c>
      <c r="C18" s="1" t="s">
        <v>52</v>
      </c>
      <c r="D18" s="1" t="s">
        <v>53</v>
      </c>
      <c r="E18" s="1">
        <v>2</v>
      </c>
      <c r="F18" s="1">
        <v>3</v>
      </c>
      <c r="G18" s="1">
        <v>699</v>
      </c>
      <c r="H18" s="1" t="s">
        <v>54</v>
      </c>
      <c r="I18" s="1" t="str">
        <f>IF(E18&lt;=F18, "Precisa repor", "Não precisa repor")</f>
        <v>Precisa repor</v>
      </c>
      <c r="J18" s="3">
        <f>F18-E18</f>
        <v>1</v>
      </c>
    </row>
    <row r="19" spans="2:10" hidden="1" x14ac:dyDescent="0.3">
      <c r="B19" s="2" t="s">
        <v>49</v>
      </c>
      <c r="C19" s="1" t="s">
        <v>50</v>
      </c>
      <c r="D19" s="1" t="s">
        <v>32</v>
      </c>
      <c r="E19" s="1">
        <v>11</v>
      </c>
      <c r="F19" s="1">
        <v>7</v>
      </c>
      <c r="G19" s="1">
        <v>189</v>
      </c>
      <c r="H19" s="1" t="s">
        <v>15</v>
      </c>
      <c r="I19" s="1" t="str">
        <f>IF(E19&lt;=F19, "Precisa repor", "Não precisa repor")</f>
        <v>Não precisa repor</v>
      </c>
      <c r="J19" s="3"/>
    </row>
    <row r="20" spans="2:10" x14ac:dyDescent="0.3">
      <c r="B20" s="2" t="s">
        <v>59</v>
      </c>
      <c r="C20" s="1" t="s">
        <v>60</v>
      </c>
      <c r="D20" s="1" t="s">
        <v>38</v>
      </c>
      <c r="E20" s="1">
        <v>9</v>
      </c>
      <c r="F20" s="1">
        <v>10</v>
      </c>
      <c r="G20" s="1">
        <v>16.899999999999999</v>
      </c>
      <c r="H20" s="1" t="s">
        <v>54</v>
      </c>
      <c r="I20" s="1" t="str">
        <f>IF(E20&lt;=F20, "Precisa repor", "Não precisa repor")</f>
        <v>Precisa repor</v>
      </c>
      <c r="J20" s="3">
        <f>F20-E20</f>
        <v>1</v>
      </c>
    </row>
    <row r="21" spans="2:10" hidden="1" x14ac:dyDescent="0.3">
      <c r="B21" s="2" t="s">
        <v>55</v>
      </c>
      <c r="C21" s="1" t="s">
        <v>56</v>
      </c>
      <c r="D21" s="1" t="s">
        <v>38</v>
      </c>
      <c r="E21" s="1">
        <v>14</v>
      </c>
      <c r="F21" s="1">
        <v>10</v>
      </c>
      <c r="G21" s="1">
        <v>39.9</v>
      </c>
      <c r="H21" s="1" t="s">
        <v>54</v>
      </c>
      <c r="I21" s="1" t="str">
        <f>IF(E21&lt;=F21, "Precisa repor", "Não precisa repor")</f>
        <v>Não precisa repor</v>
      </c>
      <c r="J21" s="3"/>
    </row>
    <row r="22" spans="2:10" hidden="1" x14ac:dyDescent="0.3">
      <c r="B22" s="2" t="s">
        <v>57</v>
      </c>
      <c r="C22" s="1" t="s">
        <v>58</v>
      </c>
      <c r="D22" s="1" t="s">
        <v>32</v>
      </c>
      <c r="E22" s="1">
        <v>3</v>
      </c>
      <c r="F22" s="1">
        <v>2</v>
      </c>
      <c r="G22" s="1">
        <v>1299</v>
      </c>
      <c r="H22" s="1" t="s">
        <v>29</v>
      </c>
      <c r="I22" s="1" t="str">
        <f>IF(E22&lt;=F22, "Precisa repor", "Não precisa repor")</f>
        <v>Não precisa repor</v>
      </c>
      <c r="J22" s="3"/>
    </row>
    <row r="23" spans="2:10" ht="15" thickBot="1" x14ac:dyDescent="0.35">
      <c r="B23" s="4" t="s">
        <v>41</v>
      </c>
      <c r="C23" s="5" t="s">
        <v>42</v>
      </c>
      <c r="D23" s="5" t="s">
        <v>35</v>
      </c>
      <c r="E23" s="5">
        <v>6</v>
      </c>
      <c r="F23" s="5">
        <v>6</v>
      </c>
      <c r="G23" s="5">
        <v>64.900000000000006</v>
      </c>
      <c r="H23" s="5" t="s">
        <v>29</v>
      </c>
      <c r="I23" s="5" t="str">
        <f>IF(E23&lt;=F23, "Precisa repor", "Não precisa repor")</f>
        <v>Precisa repor</v>
      </c>
      <c r="J23" s="6">
        <f>F23-E23</f>
        <v>0</v>
      </c>
    </row>
  </sheetData>
  <autoFilter ref="B3:J23" xr:uid="{7A1697FC-A8FD-40FF-A3A8-2435A67199F0}">
    <filterColumn colId="7">
      <filters>
        <filter val="Precisa repor"/>
      </filters>
    </filterColumn>
    <sortState xmlns:xlrd2="http://schemas.microsoft.com/office/spreadsheetml/2017/richdata2" ref="B5:J23">
      <sortCondition descending="1" ref="J3:J23"/>
    </sortState>
  </autoFilter>
  <mergeCells count="1">
    <mergeCell ref="B2:J2"/>
  </mergeCells>
  <conditionalFormatting sqref="B1:B23 B37:B1048576">
    <cfRule type="duplicateValues" dxfId="4" priority="6"/>
  </conditionalFormatting>
  <conditionalFormatting sqref="F9">
    <cfRule type="cellIs" dxfId="3" priority="4" stopIfTrue="1" operator="equal">
      <formula>0</formula>
    </cfRule>
  </conditionalFormatting>
  <conditionalFormatting sqref="E4:E23">
    <cfRule type="cellIs" dxfId="2" priority="3" stopIfTrue="1" operator="equal">
      <formula>0</formula>
    </cfRule>
  </conditionalFormatting>
  <conditionalFormatting sqref="B3:B23">
    <cfRule type="duplicateValues" dxfId="1" priority="2"/>
  </conditionalFormatting>
  <conditionalFormatting sqref="B4:B23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Contexto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Policarpo</dc:creator>
  <cp:lastModifiedBy>Letícia Policarpo</cp:lastModifiedBy>
  <dcterms:created xsi:type="dcterms:W3CDTF">2026-10-28T16:25:10Z</dcterms:created>
  <dcterms:modified xsi:type="dcterms:W3CDTF">2026-10-28T20:20:07Z</dcterms:modified>
</cp:coreProperties>
</file>